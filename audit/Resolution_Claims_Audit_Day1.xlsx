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laims Audit" sheetId="2" state="visible" r:id="rId4"/>
    <sheet name="Same Vendor Gaps" sheetId="3" state="visible" r:id="rId5"/>
    <sheet name="Findings" sheetId="4" state="visible" r:id="rId6"/>
    <sheet name="Prior Work" sheetId="5" state="visible" r:id="rId7"/>
    <sheet name="To Verif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<sst xmlns="http://schemas.openxmlformats.org/spreadsheetml/2006/main" count="290" uniqueCount="224">
  <si>
    <t xml:space="preserve">Resolution Claims Audit: Day 1 AI Support Vendors</t>
  </si>
  <si>
    <t xml:space="preserve">What this is</t>
  </si>
  <si>
    <t xml:space="preserve">Purpose</t>
  </si>
  <si>
    <t xml:space="preserve">How ten AI support vendors publicly define and report "resolution", pulled from their own pages, for the Day 1 case study.</t>
  </si>
  <si>
    <t xml:space="preserve">Pulled on</t>
  </si>
  <si>
    <t xml:space="preserve">September 30, 2026</t>
  </si>
  <si>
    <t xml:space="preserve">Core question</t>
  </si>
  <si>
    <t xml:space="preserve">When a vendor says its AI resolves X percent, what exactly was counted, over what denominator, judged by whom, and over what window?</t>
  </si>
  <si>
    <t xml:space="preserve">How to read the Audit tab</t>
  </si>
  <si>
    <t xml:space="preserve">Five disclosure checks per vendor, marked Yes, Partial or No. Disclosure score counts Yes as 1 and Partial as 0.5, out of 5. Green, amber and red shading follows the mark.</t>
  </si>
  <si>
    <t xml:space="preserve">Source quality</t>
  </si>
  <si>
    <t xml:space="preserve">Primary means the vendor's own site or docs. Secondary means a partner, press or third party page. Secondary rows are flagged, verify before quoting them.</t>
  </si>
  <si>
    <t xml:space="preserve">Honest limits</t>
  </si>
  <si>
    <t xml:space="preserve">Public marketing claims only. No access to vendor dashboards, contracts or production data. A missing definition means none was found in public pages, not that none exists internally.</t>
  </si>
  <si>
    <t xml:space="preserve">Tone rule for the study</t>
  </si>
  <si>
    <t xml:space="preserve">Name every vendor, quote their own wording, never rank who performs best. The point is that the numbers are not comparable, not that anyone's number is wrong.</t>
  </si>
  <si>
    <t xml:space="preserve">Company</t>
  </si>
  <si>
    <t xml:space="preserve">Headline claim</t>
  </si>
  <si>
    <t xml:space="preserve">Label(s) the vendor uses</t>
  </si>
  <si>
    <t xml:space="preserve">Published definition (paraphrased)</t>
  </si>
  <si>
    <t xml:space="preserve">Denominator disclosed</t>
  </si>
  <si>
    <t xml:space="preserve">Repeat contact check</t>
  </si>
  <si>
    <t xml:space="preserve">Who judges "resolved"</t>
  </si>
  <si>
    <t xml:space="preserve">Measurement window</t>
  </si>
  <si>
    <t xml:space="preserve">AI vs human split</t>
  </si>
  <si>
    <t xml:space="preserve">Disclosure score (out of 5)</t>
  </si>
  <si>
    <t xml:space="preserve">Billing unit</t>
  </si>
  <si>
    <t xml:space="preserve">Contradiction or tension found</t>
  </si>
  <si>
    <t xml:space="preserve">Source type</t>
  </si>
  <si>
    <t xml:space="preserve">Source(s)</t>
  </si>
  <si>
    <t xml:space="preserve">Date on page</t>
  </si>
  <si>
    <t xml:space="preserve">Parloa</t>
  </si>
  <si>
    <t xml:space="preserve">No AI resolution rate published. Customer claims: Swiss Life 96% routing accuracy and 60% faster resolution; BER 85% CSAT.</t>
  </si>
  <si>
    <t xml:space="preserve">routing accuracy, faster resolution, containment, FCR</t>
  </si>
  <si>
    <t xml:space="preserve">Glossary defines containment as issues resolved through self service without agent escalation, and calls it synonymous with deflection. Separate FCR article defines a strict first contact rate with eligibility exclusions. Lens dashboard shows an LLM verified resolution metric.</t>
  </si>
  <si>
    <t xml:space="preserve">No</t>
  </si>
  <si>
    <t xml:space="preserve">Partial</t>
  </si>
  <si>
    <t xml:space="preserve">Not public (enterprise contracts)</t>
  </si>
  <si>
    <t xml:space="preserve">Treats containment and deflection as resolution in its glossary, while its own FCR article says an issue needing a repeat contact is not resolved.</t>
  </si>
  <si>
    <t xml:space="preserve">Primary</t>
  </si>
  <si>
    <t xml:space="preserve">parloa.com/knowledge-hub/customer-experience-glossary ; parloa.com/knowledge-hub/contact-center-automation ; parloa.com/knowledge-hub/first-call-resolution-rate</t>
  </si>
  <si>
    <t xml:space="preserve">Not shown</t>
  </si>
  <si>
    <t xml:space="preserve">Crescendo</t>
  </si>
  <si>
    <t xml:space="preserve">99.8% accuracy; from about $1.25 per resolution; no charge for unresolved or low CSAT conversations.</t>
  </si>
  <si>
    <t xml:space="preserve">true resolution rate, accuracy, first contact resolution</t>
  </si>
  <si>
    <t xml:space="preserve">True resolution rate is the share of conversations where the customer's problem was actually solved. Warns that containment flatters vendors.</t>
  </si>
  <si>
    <t xml:space="preserve">Per resolution</t>
  </si>
  <si>
    <t xml:space="preserve">Bills only for resolved conversations, but does not say publicly who decides a conversation counts as resolved. A competitor (Fin) says the 99.8% covers blended AI and human work.</t>
  </si>
  <si>
    <t xml:space="preserve">Primary (accuracy scope note is secondary)</t>
  </si>
  <si>
    <t xml:space="preserve">crescendo.ai/blog/ai-agent-for-customer-support-practical-guide-cx-leaders ; fin.ai/learn/fin-vs-crescendo</t>
  </si>
  <si>
    <t xml:space="preserve">Sep 11, 2026</t>
  </si>
  <si>
    <t xml:space="preserve">Maven AGI</t>
  </si>
  <si>
    <t xml:space="preserve">Up to 93% autonomous resolution; named results from 80% to 93%.</t>
  </si>
  <si>
    <t xml:space="preserve">autonomous resolution, answered, handled</t>
  </si>
  <si>
    <t xml:space="preserve">Confirmed resolution means the request was completed rather than redirected or closed without an outcome.</t>
  </si>
  <si>
    <t xml:space="preserve">Yes</t>
  </si>
  <si>
    <t xml:space="preserve">Not public</t>
  </si>
  <si>
    <t xml:space="preserve">Headline 93% for Mastermind is described as live chat questions answered; Maven also reports Mastermind resolved 68% of support page inquiries. Papaya: 90% answered autonomously but 70% first contact resolution.</t>
  </si>
  <si>
    <t xml:space="preserve">mavenagi.com/blog/customer-service-automation-software ; mavenagi.com/blog/customer-support-ticket-resolution-statistics ; mavenagi.com/glossary/autonomous-resolution</t>
  </si>
  <si>
    <t xml:space="preserve">Not shown (posts about 1 to 2 months old)</t>
  </si>
  <si>
    <t xml:space="preserve">Replicant</t>
  </si>
  <si>
    <t xml:space="preserve">Resolve up to 80% of conversations; DoorDash 94%; Sunrun 50% of payment calls.</t>
  </si>
  <si>
    <t xml:space="preserve">resolution rate, success rate, fully automated</t>
  </si>
  <si>
    <t xml:space="preserve">Its voice AI metrics post defines resolution rate as calls the AI handled entirely without a transfer to a human, which is the usual definition of containment.</t>
  </si>
  <si>
    <t xml:space="preserve">DoorDash 94% is a success rate on Replicant's ROI blog and a resolution rate on a partner page. Sunrun 50% is fully automated on one page and resolved without a live agent on the homepage.</t>
  </si>
  <si>
    <t xml:space="preserve">Mixed (DoorDash resolution wording is secondary)</t>
  </si>
  <si>
    <t xml:space="preserve">replicant.com/blog/how-to-measure-voice-ai-success-metrics-that-actually-matter ; replicant.com/blog/contact-center-automation-roi ; replicant.com ; telarus.com/blog/replicant-contact-center-automation</t>
  </si>
  <si>
    <t xml:space="preserve">Observe.AI</t>
  </si>
  <si>
    <t xml:space="preserve">60% of calls.</t>
  </si>
  <si>
    <t xml:space="preserve">resolve, automate</t>
  </si>
  <si>
    <t xml:space="preserve">No public definition found.</t>
  </si>
  <si>
    <t xml:space="preserve">The same 60% reads resolve calls without agents on one page and automate incoming calls on the demo page.</t>
  </si>
  <si>
    <t xml:space="preserve">observe.ai/solutions/improve-customer-experience ; observe.ai/get-demo</t>
  </si>
  <si>
    <t xml:space="preserve">Assembled</t>
  </si>
  <si>
    <t xml:space="preserve">Up to 70% resolution rates without human involvement.</t>
  </si>
  <si>
    <t xml:space="preserve">resolution rate</t>
  </si>
  <si>
    <t xml:space="preserve">Resolution means handled without human involvement. No follow up or repeat contact condition stated.</t>
  </si>
  <si>
    <t xml:space="preserve">Positions itself as resolution first while defining resolution the way others define containment.</t>
  </si>
  <si>
    <t xml:space="preserve">assembled.com/blog/how-our-ai-chat-agent-resolves-70-of-customer-chats</t>
  </si>
  <si>
    <t xml:space="preserve">May 28, 2025</t>
  </si>
  <si>
    <t xml:space="preserve">Regal</t>
  </si>
  <si>
    <t xml:space="preserve">97% containment for inbound support (eHealth); 99.5% resolution without human handoff (reported).</t>
  </si>
  <si>
    <t xml:space="preserve">containment, resolution</t>
  </si>
  <si>
    <t xml:space="preserve">No public definition found. Resolution described as no human handoff.</t>
  </si>
  <si>
    <t xml:space="preserve">Per minute</t>
  </si>
  <si>
    <t xml:space="preserve">Homepage leads with containment; press coverage reports a resolution rate higher than that containment figure. Different scopes, but no definition to reconcile them.</t>
  </si>
  <si>
    <t xml:space="preserve">Mixed (99.5% is SiliconANGLE reporting)</t>
  </si>
  <si>
    <t xml:space="preserve">regal.ai ; siliconangle.com/2026/08/13/regal-ties-voice-ai-agents-five9s-contact-center-platform ; cbinsights.com/investor/regal</t>
  </si>
  <si>
    <t xml:space="preserve">Aug 13, 2026 (press)</t>
  </si>
  <si>
    <t xml:space="preserve">Bland</t>
  </si>
  <si>
    <t xml:space="preserve">No resolution rate published. Kin Insurance: +18.7% improvement in transfer rate.</t>
  </si>
  <si>
    <t xml:space="preserve">transfer rate, human level performance</t>
  </si>
  <si>
    <t xml:space="preserve">In the Kin story, a transfer to a human closer is the success outcome, the opposite of support metrics where transfer is failure.</t>
  </si>
  <si>
    <t xml:space="preserve">Kin table shows the same 70.5% transfer rate for Bland and another AI vendor, yet credits +18.7% versus +6.3% improvement without explaining the baseline.</t>
  </si>
  <si>
    <t xml:space="preserve">bland.ai/customers/kin-insurance ; bland.ai/customers</t>
  </si>
  <si>
    <t xml:space="preserve">Gorgias</t>
  </si>
  <si>
    <t xml:space="preserve">AI Agent automation rate; claims up to 60% of common questions.</t>
  </si>
  <si>
    <t xml:space="preserve">automation rate, automated interactions, resolution (billing)</t>
  </si>
  <si>
    <t xml:space="preserve">Automation rate is billable automated interactions resolved by AI Agent divided by total billable workload (automated plus human handled), spam excluded. Fully handled with no human involved.</t>
  </si>
  <si>
    <t xml:space="preserve">Per automated interaction</t>
  </si>
  <si>
    <t xml:space="preserve">Publicly changed the denominator from AI handled interactions to all customer interactions and warned merchants their rate would likely drop. Best disclosed row, but still no repeat contact check.</t>
  </si>
  <si>
    <t xml:space="preserve">docs.gorgias.com (How metrics are calculated: AI and automation) ; docs.gorgias.com/en-US/automate-statistics-81942</t>
  </si>
  <si>
    <t xml:space="preserve">Updated within last week per page</t>
  </si>
  <si>
    <t xml:space="preserve">Avoca</t>
  </si>
  <si>
    <t xml:space="preserve">27% higher booking rates after 6 months; Sila: 90%+ calls handled automatically, under 10% transfer rate.</t>
  </si>
  <si>
    <t xml:space="preserve">booking rate, handled automatically, transfer rate</t>
  </si>
  <si>
    <t xml:space="preserve">Primary metric is booking rate, a business outcome logged in the customer's CRM. Sila page equates a low transfer rate with calls resolved end to end.</t>
  </si>
  <si>
    <t xml:space="preserve">Ships Call Reclassification, which flags call outcome labels that do not match what happened; one HVAC case averaged 12% misclassified. Top Flight page says booking rose from 10% to over 70% in the text but shows 75% up from 5% in the stat.</t>
  </si>
  <si>
    <t xml:space="preserve">avoca.ai/customers ; avoca.ai/customers/sila-services ; avoca.ai/coach ; avoca.ai/customers/top-flight-electric</t>
  </si>
  <si>
    <t xml:space="preserve">Sila data Jan to Oct 2025</t>
  </si>
  <si>
    <t xml:space="preserve">Summary</t>
  </si>
  <si>
    <t xml:space="preserve">Vendors audited</t>
  </si>
  <si>
    <t xml:space="preserve">Disclose their denominator</t>
  </si>
  <si>
    <t xml:space="preserve">Fully check repeat contact</t>
  </si>
  <si>
    <t xml:space="preserve">State who judges resolved</t>
  </si>
  <si>
    <t xml:space="preserve">State a measurement window</t>
  </si>
  <si>
    <t xml:space="preserve">Average disclosure score (of 5)</t>
  </si>
  <si>
    <t xml:space="preserve">Highest score</t>
  </si>
  <si>
    <t xml:space="preserve">Vendor with highest score</t>
  </si>
  <si>
    <t xml:space="preserve">Vendor</t>
  </si>
  <si>
    <t xml:space="preserve">Customer</t>
  </si>
  <si>
    <t xml:space="preserve">Number A label</t>
  </si>
  <si>
    <t xml:space="preserve">Number A</t>
  </si>
  <si>
    <t xml:space="preserve">Number B label</t>
  </si>
  <si>
    <t xml:space="preserve">Number B</t>
  </si>
  <si>
    <t xml:space="preserve">Gap (A minus B, points)</t>
  </si>
  <si>
    <t xml:space="preserve">What it shows</t>
  </si>
  <si>
    <t xml:space="preserve">Papaya</t>
  </si>
  <si>
    <t xml:space="preserve">Answered autonomously</t>
  </si>
  <si>
    <t xml:space="preserve">First contact resolution</t>
  </si>
  <si>
    <t xml:space="preserve">Answering and resolving are reported separately inside one story, then the higher one feeds the headline.</t>
  </si>
  <si>
    <t xml:space="preserve">Mastermind</t>
  </si>
  <si>
    <t xml:space="preserve">Live chat questions answered</t>
  </si>
  <si>
    <t xml:space="preserve">Support page inquiries resolved autonomously</t>
  </si>
  <si>
    <t xml:space="preserve">The 93% headline is an answer rate; the same customer's resolution figure is 25 points lower.</t>
  </si>
  <si>
    <t xml:space="preserve">eHealth vs company claim</t>
  </si>
  <si>
    <t xml:space="preserve">Containment (eHealth, homepage)</t>
  </si>
  <si>
    <t xml:space="preserve">Resolution without handoff (company, press)</t>
  </si>
  <si>
    <t xml:space="preserve">A resolution rate above a containment rate is only possible if they measure different scopes, which no public definition explains.</t>
  </si>
  <si>
    <t xml:space="preserve">DoorDash</t>
  </si>
  <si>
    <t xml:space="preserve">Success rate (Replicant blog)</t>
  </si>
  <si>
    <t xml:space="preserve">Resolution rate (partner page)</t>
  </si>
  <si>
    <t xml:space="preserve">Same number, two labels. Zero gap is the point: the label changes, the measurement does not.</t>
  </si>
  <si>
    <t xml:space="preserve">Top Flight Electric</t>
  </si>
  <si>
    <t xml:space="preserve">Booking rate in stat block</t>
  </si>
  <si>
    <t xml:space="preserve">Booking rate in page text</t>
  </si>
  <si>
    <t xml:space="preserve">Small, but the same page reports two different end values and two different starting values (5% and 10%).</t>
  </si>
  <si>
    <t xml:space="preserve">All values are the vendors' own published figures. Gap is in percentage points. Regal compares a customer figure with a company wide figure, so treat that row as a scope mismatch, not a contradiction.</t>
  </si>
  <si>
    <t xml:space="preserve">#</t>
  </si>
  <si>
    <t xml:space="preserve">Finding</t>
  </si>
  <si>
    <t xml:space="preserve">Evidence (tab and rows)</t>
  </si>
  <si>
    <t xml:space="preserve">Why a buyer should care</t>
  </si>
  <si>
    <t xml:space="preserve">Resolution usually means no human touched it.</t>
  </si>
  <si>
    <t xml:space="preserve">Replicant, Assembled, Regal, Observe.AI, Maven define or describe resolution as no human involvement or no transfer.</t>
  </si>
  <si>
    <t xml:space="preserve">That is containment. A customer who gives up, hangs up or calls back tomorrow still counts as resolved.</t>
  </si>
  <si>
    <t xml:space="preserve">The same vendor reports two different numbers for one customer.</t>
  </si>
  <si>
    <t xml:space="preserve">Same Vendor Gaps tab: Maven Papaya (20 points), Maven Mastermind (25 points).</t>
  </si>
  <si>
    <t xml:space="preserve">Headlines use the flattering number. Buyers comparing headlines compare answer rates to resolution rates.</t>
  </si>
  <si>
    <t xml:space="preserve">Labels drift across a vendor's own pages.</t>
  </si>
  <si>
    <t xml:space="preserve">Replicant DoorDash (success vs resolution), Observe.AI 60% (resolve vs automate), Sunrun (automated vs resolved).</t>
  </si>
  <si>
    <t xml:space="preserve">If the vendor treats the words as interchangeable, the buyer cannot tell which measurement is behind the number.</t>
  </si>
  <si>
    <t xml:space="preserve">Vendors disagree on what containment even is.</t>
  </si>
  <si>
    <t xml:space="preserve">Parloa glossary: containment equals resolution and deflection. Crescendo guide: containment is the metric that fools buyers.</t>
  </si>
  <si>
    <t xml:space="preserve">Two vendors on the same shortlist use the same word for opposite claims.</t>
  </si>
  <si>
    <t xml:space="preserve">Almost nobody checks whether the customer came back.</t>
  </si>
  <si>
    <t xml:space="preserve">Repeat contact check column: no vendor fully discloses one tied to its headline number.</t>
  </si>
  <si>
    <t xml:space="preserve">Repeat contact is the one signal a customer would recognize as "not resolved", and it is the one left out.</t>
  </si>
  <si>
    <t xml:space="preserve">Billing on resolution raises the stakes of the definition.</t>
  </si>
  <si>
    <t xml:space="preserve">Crescendo and Gorgias bill per resolution; neither publishes who judges resolved for billing beyond no human involved.</t>
  </si>
  <si>
    <t xml:space="preserve">When the definition is also the invoice, an unstated definition is a pricing term the buyer has not seen.</t>
  </si>
  <si>
    <t xml:space="preserve">The fix already exists in adjacent products.</t>
  </si>
  <si>
    <t xml:space="preserve">Gorgias publishes its formula and denominator change. Avoca reclassifies mislabeled call outcomes (12% average in one case).</t>
  </si>
  <si>
    <t xml:space="preserve">Proves disclosure is commercially possible and that outcome labels drift, even when humans set them.</t>
  </si>
  <si>
    <t xml:space="preserve">Source</t>
  </si>
  <si>
    <t xml:space="preserve">What it already covers</t>
  </si>
  <si>
    <t xml:space="preserve">What it does not do</t>
  </si>
  <si>
    <t xml:space="preserve">How to position against it</t>
  </si>
  <si>
    <t xml:space="preserve">Link</t>
  </si>
  <si>
    <t xml:space="preserve">Customer Service Manager magazine, How to Read an AI Resolution Rate (Sept 2026)</t>
  </si>
  <si>
    <t xml:space="preserve">Shows one week of data reported as 45% to 93%; five point checklist for any vendor number.</t>
  </si>
  <si>
    <t xml:space="preserve">Written by a vendor employee using its own dataset. Does not audit named competitors.</t>
  </si>
  <si>
    <t xml:space="preserve">Cite it as the checklist. Your study applies a checklist to ten named vendors' public claims.</t>
  </si>
  <si>
    <t xml:space="preserve">customerservicemanager.com/how-to-read-an-ai-resolution-rate-before-you-believe-it</t>
  </si>
  <si>
    <t xml:space="preserve">Lorikeet, AI support resolution rates ranked (2026)</t>
  </si>
  <si>
    <t xml:space="preserve">Ranks eight platforms by resolution stance.</t>
  </si>
  <si>
    <t xml:space="preserve">Written by a competitor selling against the list. Ranks vendors rather than comparing their own definitions.</t>
  </si>
  <si>
    <t xml:space="preserve">You do not rank. You show the numbers cannot be ranked.</t>
  </si>
  <si>
    <t xml:space="preserve">lorikeetcx.ai/articles/ai-support-resolution-rate-roi-ranked-2026</t>
  </si>
  <si>
    <t xml:space="preserve">Ada, automated resolution guide</t>
  </si>
  <si>
    <t xml:space="preserve">Three criteria for a resolution; claims methodology validated to a 0.06% error margin.</t>
  </si>
  <si>
    <t xml:space="preserve">One vendor's own standard.</t>
  </si>
  <si>
    <t xml:space="preserve">Useful as an example of a vendor publishing criteria.</t>
  </si>
  <si>
    <t xml:space="preserve">ada.cx/resources/guide/what-is-automated-resolution-in-ai-customer-service</t>
  </si>
  <si>
    <t xml:space="preserve">Zendesk, automated resolution rate</t>
  </si>
  <si>
    <t xml:space="preserve">Requires no follow up support for the same issue; excludes abandoned chats.</t>
  </si>
  <si>
    <t xml:space="preserve">Definition only, no audit.</t>
  </si>
  <si>
    <t xml:space="preserve">Closest public definition to a customer's view. Good anchor for your proposed standard.</t>
  </si>
  <si>
    <t xml:space="preserve">zendesk.com/blog/ai/workflow-automation/automated-resolution-rate</t>
  </si>
  <si>
    <t xml:space="preserve">Yaqin Hei, containment vs resolution</t>
  </si>
  <si>
    <t xml:space="preserve">Proposes a 7 day same topic repeat check.</t>
  </si>
  <si>
    <t xml:space="preserve">Individual blog; illustrative figures.</t>
  </si>
  <si>
    <t xml:space="preserve">Supports the repeat contact window as a practical test.</t>
  </si>
  <si>
    <t xml:space="preserve">yaqinhei.com/blog/containment-rate-vs-resolution-rate-customer-service-ai</t>
  </si>
  <si>
    <t xml:space="preserve">Item</t>
  </si>
  <si>
    <t xml:space="preserve">Why</t>
  </si>
  <si>
    <t xml:space="preserve">How</t>
  </si>
  <si>
    <t xml:space="preserve">Replicant DoorDash described as resolution</t>
  </si>
  <si>
    <t xml:space="preserve">Wording came from a partner blog, not Replicant.</t>
  </si>
  <si>
    <t xml:space="preserve">Search replicant.com for a DoorDash case study and quote its exact label.</t>
  </si>
  <si>
    <t xml:space="preserve">Regal 99.5% resolution</t>
  </si>
  <si>
    <t xml:space="preserve">Reported by SiliconANGLE, not seen on Regal's site.</t>
  </si>
  <si>
    <t xml:space="preserve">Check regal.ai press page or the Five9 announcement.</t>
  </si>
  <si>
    <t xml:space="preserve">Crescendo 99.8% scope</t>
  </si>
  <si>
    <t xml:space="preserve">Blended AI plus human note comes from Fin, a competitor.</t>
  </si>
  <si>
    <t xml:space="preserve">Look for Crescendo's own explanation of the accuracy figure.</t>
  </si>
  <si>
    <t xml:space="preserve">Parloa Lens LLM verified resolution</t>
  </si>
  <si>
    <t xml:space="preserve">From June 2026 launch materials read earlier, docs are behind login.</t>
  </si>
  <si>
    <t xml:space="preserve">Reopen the Lens launch post and quote the exact phrasing.</t>
  </si>
  <si>
    <t xml:space="preserve">Page dates</t>
  </si>
  <si>
    <t xml:space="preserve">Several vendor pages show no date.</t>
  </si>
  <si>
    <t xml:space="preserve">Screenshot each page on the day you publish and note the date in your study.</t>
  </si>
  <si>
    <t xml:space="preserve">Gorgias pricing figures</t>
  </si>
  <si>
    <t xml:space="preserve">Per resolution prices came via third party pages.</t>
  </si>
  <si>
    <t xml:space="preserve">Confirm on gorgias.com/pricing before quoting any dollar amount.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</si>
</sst>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1F2A"/>
        <bgColor rgb="FF333300"/>
      </patternFill>
    </fill>
    <fill>
      <patternFill patternType="solid">
        <fgColor rgb="FFF8DEDA"/>
        <bgColor rgb="FFFFF1D6"/>
      </patternFill>
    </fill>
    <fill>
      <patternFill patternType="solid">
        <fgColor rgb="FFFFF1D6"/>
        <bgColor rgb="FFF8DEDA"/>
      </patternFill>
    </fill>
    <fill>
      <patternFill patternType="solid">
        <fgColor rgb="FFE3EEDD"/>
        <bgColor rgb="FFFFF1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6C8"/>
      </left>
      <right style="thin">
        <color rgb="FFDDD6C8"/>
      </right>
      <top style="thin">
        <color rgb="FFDDD6C8"/>
      </top>
      <bottom style="thin">
        <color rgb="FFDDD6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D6"/>
      <rgbColor rgb="FFCCFFFF"/>
      <rgbColor rgb="FF660066"/>
      <rgbColor rgb="FFFF8080"/>
      <rgbColor rgb="FF0066CC"/>
      <rgbColor rgb="FFDDD6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EDD"/>
      <rgbColor rgb="FFFFFF99"/>
      <rgbColor rgb="FF99CCFF"/>
      <rgbColor rgb="FFFF99CC"/>
      <rgbColor rgb="FFCC99FF"/>
      <rgbColor rgb="FFF8DE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F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</row>
    <row r="4" customFormat="false" ht="15" hidden="false" customHeight="false" outlineLevel="0" collapsed="false">
      <c r="A4" s="2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3" t="s">
        <v>5</v>
      </c>
    </row>
    <row r="6" customFormat="false" ht="23.85" hidden="false" customHeight="false" outlineLevel="0" collapsed="false">
      <c r="A6" s="2" t="s">
        <v>6</v>
      </c>
      <c r="B6" s="3" t="s">
        <v>7</v>
      </c>
    </row>
    <row r="7" customFormat="false" ht="23.85" hidden="false" customHeight="false" outlineLevel="0" collapsed="false">
      <c r="A7" s="2" t="s">
        <v>8</v>
      </c>
      <c r="B7" s="3" t="s">
        <v>9</v>
      </c>
    </row>
    <row r="8" customFormat="false" ht="23.85" hidden="false" customHeight="false" outlineLevel="0" collapsed="false">
      <c r="A8" s="2" t="s">
        <v>10</v>
      </c>
      <c r="B8" s="3" t="s">
        <v>11</v>
      </c>
    </row>
    <row r="9" customFormat="false" ht="23.85" hidden="false" customHeight="false" outlineLevel="0" collapsed="false">
      <c r="A9" s="2" t="s">
        <v>12</v>
      </c>
      <c r="B9" s="3" t="s">
        <v>13</v>
      </c>
    </row>
    <row r="10" customFormat="false" ht="23.85" hidden="false" customHeight="false" outlineLevel="0" collapsed="false">
      <c r="A10" s="2" t="s">
        <v>14</v>
      </c>
      <c r="B1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44"/>
    <col collapsed="false" customWidth="true" hidden="false" outlineLevel="0" max="9" min="5" style="0" width="13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48"/>
    <col collapsed="false" customWidth="true" hidden="false" outlineLevel="0" max="13" min="13" style="0" width="16"/>
    <col collapsed="false" customWidth="true" hidden="false" outlineLevel="0" max="14" min="14" style="0" width="44"/>
    <col collapsed="false" customWidth="true" hidden="false" outlineLevel="0" max="15" min="15" style="0" width="16"/>
  </cols>
  <sheetData>
    <row r="1" customFormat="false" ht="35.05" hidden="false" customHeight="fals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</row>
    <row r="2" customFormat="false" ht="150" hidden="false" customHeight="true" outlineLevel="0" collapsed="false">
      <c r="A2" s="5" t="s">
        <v>31</v>
      </c>
      <c r="B2" s="5" t="s">
        <v>32</v>
      </c>
      <c r="C2" s="5" t="s">
        <v>33</v>
      </c>
      <c r="D2" s="5" t="s">
        <v>34</v>
      </c>
      <c r="E2" s="6" t="s">
        <v>35</v>
      </c>
      <c r="F2" s="7" t="s">
        <v>36</v>
      </c>
      <c r="G2" s="7" t="s">
        <v>36</v>
      </c>
      <c r="H2" s="6" t="s">
        <v>35</v>
      </c>
      <c r="I2" s="6" t="s">
        <v>35</v>
      </c>
      <c r="J2" s="8" t="n">
        <f aca="false">COUNTIF(E2:I2,"Yes")+0.5*COUNTIF(E2:I2,"Partial")</f>
        <v>1</v>
      </c>
      <c r="K2" s="5" t="s">
        <v>37</v>
      </c>
      <c r="L2" s="5" t="s">
        <v>38</v>
      </c>
      <c r="M2" s="5" t="s">
        <v>39</v>
      </c>
      <c r="N2" s="5" t="s">
        <v>40</v>
      </c>
      <c r="O2" s="5" t="s">
        <v>41</v>
      </c>
    </row>
    <row r="3" customFormat="false" ht="150" hidden="false" customHeight="true" outlineLevel="0" collapsed="false">
      <c r="A3" s="5" t="s">
        <v>42</v>
      </c>
      <c r="B3" s="5" t="s">
        <v>43</v>
      </c>
      <c r="C3" s="5" t="s">
        <v>44</v>
      </c>
      <c r="D3" s="5" t="s">
        <v>45</v>
      </c>
      <c r="E3" s="6" t="s">
        <v>35</v>
      </c>
      <c r="F3" s="7" t="s">
        <v>36</v>
      </c>
      <c r="G3" s="6" t="s">
        <v>35</v>
      </c>
      <c r="H3" s="6" t="s">
        <v>35</v>
      </c>
      <c r="I3" s="6" t="s">
        <v>35</v>
      </c>
      <c r="J3" s="8" t="n">
        <f aca="false">COUNTIF(E3:I3,"Yes")+0.5*COUNTIF(E3:I3,"Partial")</f>
        <v>0.5</v>
      </c>
      <c r="K3" s="5" t="s">
        <v>46</v>
      </c>
      <c r="L3" s="5" t="s">
        <v>47</v>
      </c>
      <c r="M3" s="5" t="s">
        <v>48</v>
      </c>
      <c r="N3" s="5" t="s">
        <v>49</v>
      </c>
      <c r="O3" s="5" t="s">
        <v>50</v>
      </c>
    </row>
    <row r="4" customFormat="false" ht="150" hidden="false" customHeight="true" outlineLevel="0" collapsed="false">
      <c r="A4" s="5" t="s">
        <v>51</v>
      </c>
      <c r="B4" s="5" t="s">
        <v>52</v>
      </c>
      <c r="C4" s="5" t="s">
        <v>53</v>
      </c>
      <c r="D4" s="5" t="s">
        <v>54</v>
      </c>
      <c r="E4" s="6" t="s">
        <v>35</v>
      </c>
      <c r="F4" s="6" t="s">
        <v>35</v>
      </c>
      <c r="G4" s="6" t="s">
        <v>35</v>
      </c>
      <c r="H4" s="6" t="s">
        <v>35</v>
      </c>
      <c r="I4" s="9" t="s">
        <v>55</v>
      </c>
      <c r="J4" s="8" t="n">
        <f aca="false">COUNTIF(E4:I4,"Yes")+0.5*COUNTIF(E4:I4,"Partial")</f>
        <v>1</v>
      </c>
      <c r="K4" s="5" t="s">
        <v>56</v>
      </c>
      <c r="L4" s="5" t="s">
        <v>57</v>
      </c>
      <c r="M4" s="5" t="s">
        <v>39</v>
      </c>
      <c r="N4" s="5" t="s">
        <v>58</v>
      </c>
      <c r="O4" s="5" t="s">
        <v>59</v>
      </c>
    </row>
    <row r="5" customFormat="false" ht="150" hidden="false" customHeight="true" outlineLevel="0" collapsed="false">
      <c r="A5" s="5" t="s">
        <v>60</v>
      </c>
      <c r="B5" s="5" t="s">
        <v>61</v>
      </c>
      <c r="C5" s="5" t="s">
        <v>62</v>
      </c>
      <c r="D5" s="5" t="s">
        <v>63</v>
      </c>
      <c r="E5" s="6" t="s">
        <v>35</v>
      </c>
      <c r="F5" s="6" t="s">
        <v>35</v>
      </c>
      <c r="G5" s="6" t="s">
        <v>35</v>
      </c>
      <c r="H5" s="6" t="s">
        <v>35</v>
      </c>
      <c r="I5" s="9" t="s">
        <v>55</v>
      </c>
      <c r="J5" s="8" t="n">
        <f aca="false">COUNTIF(E5:I5,"Yes")+0.5*COUNTIF(E5:I5,"Partial")</f>
        <v>1</v>
      </c>
      <c r="K5" s="5" t="s">
        <v>56</v>
      </c>
      <c r="L5" s="5" t="s">
        <v>64</v>
      </c>
      <c r="M5" s="5" t="s">
        <v>65</v>
      </c>
      <c r="N5" s="5" t="s">
        <v>66</v>
      </c>
      <c r="O5" s="5" t="s">
        <v>41</v>
      </c>
    </row>
    <row r="6" customFormat="false" ht="150" hidden="false" customHeight="true" outlineLevel="0" collapsed="false">
      <c r="A6" s="5" t="s">
        <v>67</v>
      </c>
      <c r="B6" s="5" t="s">
        <v>68</v>
      </c>
      <c r="C6" s="5" t="s">
        <v>69</v>
      </c>
      <c r="D6" s="5" t="s">
        <v>70</v>
      </c>
      <c r="E6" s="6" t="s">
        <v>35</v>
      </c>
      <c r="F6" s="6" t="s">
        <v>35</v>
      </c>
      <c r="G6" s="6" t="s">
        <v>35</v>
      </c>
      <c r="H6" s="6" t="s">
        <v>35</v>
      </c>
      <c r="I6" s="9" t="s">
        <v>55</v>
      </c>
      <c r="J6" s="8" t="n">
        <f aca="false">COUNTIF(E6:I6,"Yes")+0.5*COUNTIF(E6:I6,"Partial")</f>
        <v>1</v>
      </c>
      <c r="K6" s="5" t="s">
        <v>56</v>
      </c>
      <c r="L6" s="5" t="s">
        <v>71</v>
      </c>
      <c r="M6" s="5" t="s">
        <v>39</v>
      </c>
      <c r="N6" s="5" t="s">
        <v>72</v>
      </c>
      <c r="O6" s="5" t="s">
        <v>41</v>
      </c>
    </row>
    <row r="7" customFormat="false" ht="150" hidden="false" customHeight="true" outlineLevel="0" collapsed="false">
      <c r="A7" s="5" t="s">
        <v>73</v>
      </c>
      <c r="B7" s="5" t="s">
        <v>74</v>
      </c>
      <c r="C7" s="5" t="s">
        <v>75</v>
      </c>
      <c r="D7" s="5" t="s">
        <v>76</v>
      </c>
      <c r="E7" s="6" t="s">
        <v>35</v>
      </c>
      <c r="F7" s="6" t="s">
        <v>35</v>
      </c>
      <c r="G7" s="6" t="s">
        <v>35</v>
      </c>
      <c r="H7" s="6" t="s">
        <v>35</v>
      </c>
      <c r="I7" s="9" t="s">
        <v>55</v>
      </c>
      <c r="J7" s="8" t="n">
        <f aca="false">COUNTIF(E7:I7,"Yes")+0.5*COUNTIF(E7:I7,"Partial")</f>
        <v>1</v>
      </c>
      <c r="K7" s="5" t="s">
        <v>56</v>
      </c>
      <c r="L7" s="5" t="s">
        <v>77</v>
      </c>
      <c r="M7" s="5" t="s">
        <v>39</v>
      </c>
      <c r="N7" s="5" t="s">
        <v>78</v>
      </c>
      <c r="O7" s="5" t="s">
        <v>79</v>
      </c>
    </row>
    <row r="8" customFormat="false" ht="150" hidden="false" customHeight="true" outlineLevel="0" collapsed="false">
      <c r="A8" s="5" t="s">
        <v>80</v>
      </c>
      <c r="B8" s="5" t="s">
        <v>81</v>
      </c>
      <c r="C8" s="5" t="s">
        <v>82</v>
      </c>
      <c r="D8" s="5" t="s">
        <v>83</v>
      </c>
      <c r="E8" s="6" t="s">
        <v>35</v>
      </c>
      <c r="F8" s="6" t="s">
        <v>35</v>
      </c>
      <c r="G8" s="6" t="s">
        <v>35</v>
      </c>
      <c r="H8" s="6" t="s">
        <v>35</v>
      </c>
      <c r="I8" s="9" t="s">
        <v>55</v>
      </c>
      <c r="J8" s="8" t="n">
        <f aca="false">COUNTIF(E8:I8,"Yes")+0.5*COUNTIF(E8:I8,"Partial")</f>
        <v>1</v>
      </c>
      <c r="K8" s="5" t="s">
        <v>84</v>
      </c>
      <c r="L8" s="5" t="s">
        <v>85</v>
      </c>
      <c r="M8" s="5" t="s">
        <v>86</v>
      </c>
      <c r="N8" s="5" t="s">
        <v>87</v>
      </c>
      <c r="O8" s="5" t="s">
        <v>88</v>
      </c>
    </row>
    <row r="9" customFormat="false" ht="150" hidden="false" customHeight="true" outlineLevel="0" collapsed="false">
      <c r="A9" s="5" t="s">
        <v>89</v>
      </c>
      <c r="B9" s="5" t="s">
        <v>90</v>
      </c>
      <c r="C9" s="5" t="s">
        <v>91</v>
      </c>
      <c r="D9" s="5" t="s">
        <v>92</v>
      </c>
      <c r="E9" s="6" t="s">
        <v>35</v>
      </c>
      <c r="F9" s="6" t="s">
        <v>35</v>
      </c>
      <c r="G9" s="6" t="s">
        <v>35</v>
      </c>
      <c r="H9" s="6" t="s">
        <v>35</v>
      </c>
      <c r="I9" s="6" t="s">
        <v>35</v>
      </c>
      <c r="J9" s="8" t="n">
        <f aca="false">COUNTIF(E9:I9,"Yes")+0.5*COUNTIF(E9:I9,"Partial")</f>
        <v>0</v>
      </c>
      <c r="K9" s="5" t="s">
        <v>56</v>
      </c>
      <c r="L9" s="5" t="s">
        <v>93</v>
      </c>
      <c r="M9" s="5" t="s">
        <v>39</v>
      </c>
      <c r="N9" s="5" t="s">
        <v>94</v>
      </c>
      <c r="O9" s="5" t="s">
        <v>41</v>
      </c>
    </row>
    <row r="10" customFormat="false" ht="150" hidden="false" customHeight="true" outlineLevel="0" collapsed="false">
      <c r="A10" s="5" t="s">
        <v>95</v>
      </c>
      <c r="B10" s="5" t="s">
        <v>96</v>
      </c>
      <c r="C10" s="5" t="s">
        <v>97</v>
      </c>
      <c r="D10" s="5" t="s">
        <v>98</v>
      </c>
      <c r="E10" s="9" t="s">
        <v>55</v>
      </c>
      <c r="F10" s="6" t="s">
        <v>35</v>
      </c>
      <c r="G10" s="6" t="s">
        <v>35</v>
      </c>
      <c r="H10" s="7" t="s">
        <v>36</v>
      </c>
      <c r="I10" s="9" t="s">
        <v>55</v>
      </c>
      <c r="J10" s="8" t="n">
        <f aca="false">COUNTIF(E10:I10,"Yes")+0.5*COUNTIF(E10:I10,"Partial")</f>
        <v>2.5</v>
      </c>
      <c r="K10" s="5" t="s">
        <v>99</v>
      </c>
      <c r="L10" s="5" t="s">
        <v>100</v>
      </c>
      <c r="M10" s="5" t="s">
        <v>39</v>
      </c>
      <c r="N10" s="5" t="s">
        <v>101</v>
      </c>
      <c r="O10" s="5" t="s">
        <v>102</v>
      </c>
    </row>
    <row r="11" customFormat="false" ht="150" hidden="false" customHeight="true" outlineLevel="0" collapsed="false">
      <c r="A11" s="5" t="s">
        <v>103</v>
      </c>
      <c r="B11" s="5" t="s">
        <v>104</v>
      </c>
      <c r="C11" s="5" t="s">
        <v>105</v>
      </c>
      <c r="D11" s="5" t="s">
        <v>106</v>
      </c>
      <c r="E11" s="6" t="s">
        <v>35</v>
      </c>
      <c r="F11" s="6" t="s">
        <v>35</v>
      </c>
      <c r="G11" s="7" t="s">
        <v>36</v>
      </c>
      <c r="H11" s="7" t="s">
        <v>36</v>
      </c>
      <c r="I11" s="7" t="s">
        <v>36</v>
      </c>
      <c r="J11" s="8" t="n">
        <f aca="false">COUNTIF(E11:I11,"Yes")+0.5*COUNTIF(E11:I11,"Partial")</f>
        <v>1.5</v>
      </c>
      <c r="K11" s="5" t="s">
        <v>56</v>
      </c>
      <c r="L11" s="5" t="s">
        <v>107</v>
      </c>
      <c r="M11" s="5" t="s">
        <v>39</v>
      </c>
      <c r="N11" s="5" t="s">
        <v>108</v>
      </c>
      <c r="O11" s="5" t="s">
        <v>109</v>
      </c>
    </row>
    <row r="13" customFormat="false" ht="17.35" hidden="false" customHeight="false" outlineLevel="0" collapsed="false">
      <c r="A13" s="1" t="s">
        <v>110</v>
      </c>
    </row>
    <row r="14" customFormat="false" ht="15" hidden="false" customHeight="false" outlineLevel="0" collapsed="false">
      <c r="A14" s="2" t="s">
        <v>111</v>
      </c>
      <c r="B14" s="10" t="n">
        <f aca="false">COUNTA(A2:A11)</f>
        <v>10</v>
      </c>
    </row>
    <row r="15" customFormat="false" ht="15" hidden="false" customHeight="false" outlineLevel="0" collapsed="false">
      <c r="A15" s="2" t="s">
        <v>112</v>
      </c>
      <c r="B15" s="10" t="n">
        <f aca="false">COUNTIF(E2:E11,"Yes")</f>
        <v>1</v>
      </c>
    </row>
    <row r="16" customFormat="false" ht="15" hidden="false" customHeight="false" outlineLevel="0" collapsed="false">
      <c r="A16" s="2" t="s">
        <v>113</v>
      </c>
      <c r="B16" s="10" t="n">
        <f aca="false">COUNTIF(F2:F11,"Yes")</f>
        <v>0</v>
      </c>
    </row>
    <row r="17" customFormat="false" ht="15" hidden="false" customHeight="false" outlineLevel="0" collapsed="false">
      <c r="A17" s="2" t="s">
        <v>114</v>
      </c>
      <c r="B17" s="10" t="n">
        <f aca="false">COUNTIF(G2:G11,"Yes")</f>
        <v>0</v>
      </c>
    </row>
    <row r="18" customFormat="false" ht="15" hidden="false" customHeight="false" outlineLevel="0" collapsed="false">
      <c r="A18" s="2" t="s">
        <v>115</v>
      </c>
      <c r="B18" s="10" t="n">
        <f aca="false">COUNTIF(H2:H11,"Yes")</f>
        <v>0</v>
      </c>
    </row>
    <row r="19" customFormat="false" ht="15" hidden="false" customHeight="false" outlineLevel="0" collapsed="false">
      <c r="A19" s="2" t="s">
        <v>116</v>
      </c>
      <c r="B19" s="10" t="n">
        <f aca="false">ROUND(AVERAGE(J2:J11),2)</f>
        <v>1.05</v>
      </c>
    </row>
    <row r="20" customFormat="false" ht="15" hidden="false" customHeight="false" outlineLevel="0" collapsed="false">
      <c r="A20" s="2" t="s">
        <v>117</v>
      </c>
      <c r="B20" s="10" t="n">
        <f aca="false">MAX(J2:J11)</f>
        <v>2.5</v>
      </c>
    </row>
    <row r="21" customFormat="false" ht="15" hidden="false" customHeight="false" outlineLevel="0" collapsed="false">
      <c r="A21" s="2" t="s">
        <v>118</v>
      </c>
      <c r="B21" s="10" t="str">
        <f aca="false">INDEX(A2:A11,MATCH(MAX(J2:J11),J2:J11,0))</f>
        <v>Gorgias</v>
      </c>
    </row>
  </sheetData>
  <dataValidations count="1">
    <dataValidation allowBlank="false" errorStyle="stop" operator="between" showDropDown="false" showErrorMessage="false" showInputMessage="false" sqref="E2:I11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23.85" hidden="false" customHeight="false" outlineLevel="0" collapsed="false">
      <c r="A1" s="4" t="s">
        <v>119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  <c r="H1" s="4" t="s">
        <v>126</v>
      </c>
    </row>
    <row r="2" customFormat="false" ht="48" hidden="false" customHeight="true" outlineLevel="0" collapsed="false">
      <c r="A2" s="5" t="s">
        <v>51</v>
      </c>
      <c r="B2" s="5" t="s">
        <v>127</v>
      </c>
      <c r="C2" s="5" t="s">
        <v>128</v>
      </c>
      <c r="D2" s="11" t="n">
        <v>0.9</v>
      </c>
      <c r="E2" s="5" t="s">
        <v>129</v>
      </c>
      <c r="F2" s="11" t="n">
        <v>0.7</v>
      </c>
      <c r="G2" s="12" t="n">
        <f aca="false">ROUND((D2-F2)*100,1)</f>
        <v>20</v>
      </c>
      <c r="H2" s="5" t="s">
        <v>130</v>
      </c>
    </row>
    <row r="3" customFormat="false" ht="48" hidden="false" customHeight="true" outlineLevel="0" collapsed="false">
      <c r="A3" s="5" t="s">
        <v>51</v>
      </c>
      <c r="B3" s="5" t="s">
        <v>131</v>
      </c>
      <c r="C3" s="5" t="s">
        <v>132</v>
      </c>
      <c r="D3" s="11" t="n">
        <v>0.93</v>
      </c>
      <c r="E3" s="5" t="s">
        <v>133</v>
      </c>
      <c r="F3" s="11" t="n">
        <v>0.68</v>
      </c>
      <c r="G3" s="12" t="n">
        <f aca="false">ROUND((D3-F3)*100,1)</f>
        <v>25</v>
      </c>
      <c r="H3" s="5" t="s">
        <v>134</v>
      </c>
    </row>
    <row r="4" customFormat="false" ht="48" hidden="false" customHeight="true" outlineLevel="0" collapsed="false">
      <c r="A4" s="5" t="s">
        <v>80</v>
      </c>
      <c r="B4" s="5" t="s">
        <v>135</v>
      </c>
      <c r="C4" s="5" t="s">
        <v>136</v>
      </c>
      <c r="D4" s="11" t="n">
        <v>0.97</v>
      </c>
      <c r="E4" s="5" t="s">
        <v>137</v>
      </c>
      <c r="F4" s="11" t="n">
        <v>0.995</v>
      </c>
      <c r="G4" s="12" t="n">
        <f aca="false">ROUND((D4-F4)*100,1)</f>
        <v>-2.5</v>
      </c>
      <c r="H4" s="5" t="s">
        <v>138</v>
      </c>
    </row>
    <row r="5" customFormat="false" ht="48" hidden="false" customHeight="true" outlineLevel="0" collapsed="false">
      <c r="A5" s="5" t="s">
        <v>60</v>
      </c>
      <c r="B5" s="5" t="s">
        <v>139</v>
      </c>
      <c r="C5" s="5" t="s">
        <v>140</v>
      </c>
      <c r="D5" s="11" t="n">
        <v>0.94</v>
      </c>
      <c r="E5" s="5" t="s">
        <v>141</v>
      </c>
      <c r="F5" s="11" t="n">
        <v>0.94</v>
      </c>
      <c r="G5" s="12" t="n">
        <f aca="false">ROUND((D5-F5)*100,1)</f>
        <v>0</v>
      </c>
      <c r="H5" s="5" t="s">
        <v>142</v>
      </c>
    </row>
    <row r="6" customFormat="false" ht="48" hidden="false" customHeight="true" outlineLevel="0" collapsed="false">
      <c r="A6" s="5" t="s">
        <v>103</v>
      </c>
      <c r="B6" s="5" t="s">
        <v>143</v>
      </c>
      <c r="C6" s="5" t="s">
        <v>144</v>
      </c>
      <c r="D6" s="11" t="n">
        <v>0.75</v>
      </c>
      <c r="E6" s="5" t="s">
        <v>145</v>
      </c>
      <c r="F6" s="11" t="n">
        <v>0.7</v>
      </c>
      <c r="G6" s="12" t="n">
        <f aca="false">ROUND((D6-F6)*100,1)</f>
        <v>5</v>
      </c>
      <c r="H6" s="5" t="s">
        <v>146</v>
      </c>
    </row>
    <row r="8" customFormat="false" ht="15" hidden="false" customHeight="false" outlineLevel="0" collapsed="false">
      <c r="A8" s="13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60"/>
  </cols>
  <sheetData>
    <row r="1" customFormat="false" ht="15" hidden="false" customHeight="false" outlineLevel="0" collapsed="false">
      <c r="A1" s="4" t="s">
        <v>148</v>
      </c>
      <c r="B1" s="4" t="s">
        <v>149</v>
      </c>
      <c r="C1" s="4" t="s">
        <v>150</v>
      </c>
      <c r="D1" s="4" t="s">
        <v>151</v>
      </c>
    </row>
    <row r="2" customFormat="false" ht="61.5" hidden="false" customHeight="true" outlineLevel="0" collapsed="false">
      <c r="A2" s="5" t="n">
        <v>1</v>
      </c>
      <c r="B2" s="5" t="s">
        <v>152</v>
      </c>
      <c r="C2" s="5" t="s">
        <v>153</v>
      </c>
      <c r="D2" s="5" t="s">
        <v>154</v>
      </c>
    </row>
    <row r="3" customFormat="false" ht="61.5" hidden="false" customHeight="true" outlineLevel="0" collapsed="false">
      <c r="A3" s="5" t="n">
        <v>2</v>
      </c>
      <c r="B3" s="5" t="s">
        <v>155</v>
      </c>
      <c r="C3" s="5" t="s">
        <v>156</v>
      </c>
      <c r="D3" s="5" t="s">
        <v>157</v>
      </c>
    </row>
    <row r="4" customFormat="false" ht="61.5" hidden="false" customHeight="true" outlineLevel="0" collapsed="false">
      <c r="A4" s="5" t="n">
        <v>3</v>
      </c>
      <c r="B4" s="5" t="s">
        <v>158</v>
      </c>
      <c r="C4" s="5" t="s">
        <v>159</v>
      </c>
      <c r="D4" s="5" t="s">
        <v>160</v>
      </c>
    </row>
    <row r="5" customFormat="false" ht="61.5" hidden="false" customHeight="true" outlineLevel="0" collapsed="false">
      <c r="A5" s="5" t="n">
        <v>4</v>
      </c>
      <c r="B5" s="5" t="s">
        <v>161</v>
      </c>
      <c r="C5" s="5" t="s">
        <v>162</v>
      </c>
      <c r="D5" s="5" t="s">
        <v>163</v>
      </c>
    </row>
    <row r="6" customFormat="false" ht="61.5" hidden="false" customHeight="true" outlineLevel="0" collapsed="false">
      <c r="A6" s="5" t="n">
        <v>5</v>
      </c>
      <c r="B6" s="5" t="s">
        <v>164</v>
      </c>
      <c r="C6" s="5" t="s">
        <v>165</v>
      </c>
      <c r="D6" s="5" t="s">
        <v>166</v>
      </c>
    </row>
    <row r="7" customFormat="false" ht="61.5" hidden="false" customHeight="true" outlineLevel="0" collapsed="false">
      <c r="A7" s="5" t="n">
        <v>6</v>
      </c>
      <c r="B7" s="5" t="s">
        <v>167</v>
      </c>
      <c r="C7" s="5" t="s">
        <v>168</v>
      </c>
      <c r="D7" s="5" t="s">
        <v>169</v>
      </c>
    </row>
    <row r="8" customFormat="false" ht="61.5" hidden="false" customHeight="true" outlineLevel="0" collapsed="false">
      <c r="A8" s="5" t="n">
        <v>7</v>
      </c>
      <c r="B8" s="5" t="s">
        <v>170</v>
      </c>
      <c r="C8" s="5" t="s">
        <v>171</v>
      </c>
      <c r="D8" s="5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4" t="s">
        <v>173</v>
      </c>
      <c r="B1" s="4" t="s">
        <v>174</v>
      </c>
      <c r="C1" s="4" t="s">
        <v>175</v>
      </c>
      <c r="D1" s="4" t="s">
        <v>176</v>
      </c>
      <c r="E1" s="4" t="s">
        <v>177</v>
      </c>
    </row>
    <row r="2" customFormat="false" ht="61.5" hidden="false" customHeight="true" outlineLevel="0" collapsed="false">
      <c r="A2" s="5" t="s">
        <v>178</v>
      </c>
      <c r="B2" s="5" t="s">
        <v>179</v>
      </c>
      <c r="C2" s="5" t="s">
        <v>180</v>
      </c>
      <c r="D2" s="5" t="s">
        <v>181</v>
      </c>
      <c r="E2" s="5" t="s">
        <v>182</v>
      </c>
    </row>
    <row r="3" customFormat="false" ht="61.5" hidden="false" customHeight="true" outlineLevel="0" collapsed="false">
      <c r="A3" s="5" t="s">
        <v>183</v>
      </c>
      <c r="B3" s="5" t="s">
        <v>184</v>
      </c>
      <c r="C3" s="5" t="s">
        <v>185</v>
      </c>
      <c r="D3" s="5" t="s">
        <v>186</v>
      </c>
      <c r="E3" s="5" t="s">
        <v>187</v>
      </c>
    </row>
    <row r="4" customFormat="false" ht="61.5" hidden="false" customHeight="true" outlineLevel="0" collapsed="false">
      <c r="A4" s="5" t="s">
        <v>188</v>
      </c>
      <c r="B4" s="5" t="s">
        <v>189</v>
      </c>
      <c r="C4" s="5" t="s">
        <v>190</v>
      </c>
      <c r="D4" s="5" t="s">
        <v>191</v>
      </c>
      <c r="E4" s="5" t="s">
        <v>192</v>
      </c>
    </row>
    <row r="5" customFormat="false" ht="61.5" hidden="false" customHeight="true" outlineLevel="0" collapsed="false">
      <c r="A5" s="5" t="s">
        <v>193</v>
      </c>
      <c r="B5" s="5" t="s">
        <v>194</v>
      </c>
      <c r="C5" s="5" t="s">
        <v>195</v>
      </c>
      <c r="D5" s="5" t="s">
        <v>196</v>
      </c>
      <c r="E5" s="5" t="s">
        <v>197</v>
      </c>
    </row>
    <row r="6" customFormat="false" ht="61.5" hidden="false" customHeight="true" outlineLevel="0" collapsed="false">
      <c r="A6" s="5" t="s">
        <v>198</v>
      </c>
      <c r="B6" s="5" t="s">
        <v>199</v>
      </c>
      <c r="C6" s="5" t="s">
        <v>200</v>
      </c>
      <c r="D6" s="5" t="s">
        <v>201</v>
      </c>
      <c r="E6" s="5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4" t="s">
        <v>203</v>
      </c>
      <c r="B1" s="4" t="s">
        <v>204</v>
      </c>
      <c r="C1" s="4" t="s">
        <v>205</v>
      </c>
    </row>
    <row r="2" customFormat="false" ht="39.75" hidden="false" customHeight="true" outlineLevel="0" collapsed="false">
      <c r="A2" s="5" t="s">
        <v>206</v>
      </c>
      <c r="B2" s="5" t="s">
        <v>207</v>
      </c>
      <c r="C2" s="5" t="s">
        <v>208</v>
      </c>
    </row>
    <row r="3" customFormat="false" ht="39.75" hidden="false" customHeight="true" outlineLevel="0" collapsed="false">
      <c r="A3" s="5" t="s">
        <v>209</v>
      </c>
      <c r="B3" s="5" t="s">
        <v>210</v>
      </c>
      <c r="C3" s="5" t="s">
        <v>211</v>
      </c>
    </row>
    <row r="4" customFormat="false" ht="39.75" hidden="false" customHeight="true" outlineLevel="0" collapsed="false">
      <c r="A4" s="5" t="s">
        <v>212</v>
      </c>
      <c r="B4" s="5" t="s">
        <v>213</v>
      </c>
      <c r="C4" s="5" t="s">
        <v>214</v>
      </c>
    </row>
    <row r="5" customFormat="false" ht="39.75" hidden="false" customHeight="true" outlineLevel="0" collapsed="false">
      <c r="A5" s="5" t="s">
        <v>215</v>
      </c>
      <c r="B5" s="5" t="s">
        <v>216</v>
      </c>
      <c r="C5" s="5" t="s">
        <v>217</v>
      </c>
    </row>
    <row r="6" customFormat="false" ht="39.75" hidden="false" customHeight="true" outlineLevel="0" collapsed="false">
      <c r="A6" s="5" t="s">
        <v>218</v>
      </c>
      <c r="B6" s="5" t="s">
        <v>219</v>
      </c>
      <c r="C6" s="5" t="s">
        <v>220</v>
      </c>
    </row>
    <row r="7" customFormat="false" ht="39.75" hidden="false" customHeight="true" outlineLevel="0" collapsed="false">
      <c r="A7" s="5" t="s">
        <v>221</v>
      </c>
      <c r="B7" s="5" t="s">
        <v>222</v>
      </c>
      <c r="C7" s="5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2026-09-30T19:06:01Z</dcterms:created>
  <dc:creator>openpyxl</dc:creator>
  <dc:description/>
  <dc:language>en-US</dc:language>
  <cp:lastModifiedBy/>
  <dcterms:modified xsi:type="dcterms:W3CDTF">2026-09-30T19:06:01Z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